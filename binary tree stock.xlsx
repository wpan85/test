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<sst xmlns="http://schemas.openxmlformats.org/spreadsheetml/2006/main" count="22" uniqueCount="20">
  <si>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S</t>
  </si>
  <si>
    <t>sigma</t>
  </si>
  <si>
    <t>r</t>
  </si>
  <si>
    <t>1 period</t>
  </si>
  <si>
    <t>u</t>
  </si>
  <si>
    <t>d</t>
  </si>
  <si>
    <t>p</t>
  </si>
  <si>
    <t>(1-p)</t>
  </si>
  <si>
    <t>3 months</t>
  </si>
  <si>
    <t>e^rt = pu + d - pd</t>
  </si>
  <si>
    <t>e^rt -d)/(u - d)</t>
  </si>
  <si>
    <t xml:space="preserve">Stock Price </t>
  </si>
  <si>
    <t>Arithmetic Average of Path</t>
  </si>
  <si>
    <t>European Option Tree: 70 Call</t>
  </si>
  <si>
    <t>uu</t>
  </si>
  <si>
    <t>ud</t>
  </si>
  <si>
    <t>du</t>
  </si>
  <si>
    <t>dd</t>
  </si>
  <si>
    <t>American Option Nodes:</t>
  </si>
  <si>
    <t>American Option Tree: 70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</si>
</sst>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</row>
    <row r="6">
      <c r="C6" s="1">
        <v>83.0</v>
      </c>
      <c r="D6" s="1">
        <v>0.35</v>
      </c>
      <c r="E6" s="1">
        <v>0.05</v>
      </c>
      <c r="F6" s="1" t="s">
        <v>8</v>
      </c>
      <c r="G6" s="2">
        <f>EXP(0.35*1/2)</f>
        <v>1.191246217</v>
      </c>
      <c r="H6" s="2">
        <f>1/G6</f>
        <v>0.8394570208</v>
      </c>
      <c r="I6" s="2">
        <f>(EXP(0.05*1/4)-H6)/(G6-H6)</f>
        <v>0.4921169633</v>
      </c>
      <c r="J6" s="2">
        <f>1-I6</f>
        <v>0.5078830367</v>
      </c>
    </row>
    <row r="9">
      <c r="G9" s="1" t="s">
        <v>9</v>
      </c>
    </row>
    <row r="10">
      <c r="G10" s="1" t="s">
        <v>10</v>
      </c>
    </row>
    <row r="13">
      <c r="C13" s="1" t="s">
        <v>11</v>
      </c>
      <c r="G13" s="1" t="s">
        <v>12</v>
      </c>
      <c r="J13" s="1" t="s">
        <v>13</v>
      </c>
    </row>
    <row r="14">
      <c r="E14" s="2">
        <f>D15*G6</f>
        <v>117.7826065</v>
      </c>
      <c r="G14" s="1" t="s">
        <v>14</v>
      </c>
      <c r="H14" s="2">
        <f>AVERAGE(E14,D15,C16)</f>
        <v>99.8853475</v>
      </c>
      <c r="L14" s="2">
        <f t="shared" ref="L14:L17" si="1">H14-70</f>
        <v>29.8853475</v>
      </c>
    </row>
    <row r="15">
      <c r="D15" s="2">
        <f>C16*G6</f>
        <v>98.87343598</v>
      </c>
      <c r="G15" s="1" t="s">
        <v>15</v>
      </c>
      <c r="H15" s="2">
        <f>AVERAGE(E16,D15,C16)</f>
        <v>88.29114533</v>
      </c>
      <c r="K15" s="2">
        <f>(I6*L14+J6*L15)*EXP(-0.05*1/4)</f>
        <v>23.69875525</v>
      </c>
      <c r="L15" s="2">
        <f t="shared" si="1"/>
        <v>18.29114533</v>
      </c>
    </row>
    <row r="16">
      <c r="C16" s="1">
        <v>83.0</v>
      </c>
      <c r="E16" s="2">
        <f>D15*H6</f>
        <v>83</v>
      </c>
      <c r="G16" s="1" t="s">
        <v>16</v>
      </c>
      <c r="H16" s="2">
        <f>AVERAGE(E16,D17,C16)</f>
        <v>78.55831091</v>
      </c>
      <c r="J16" s="3">
        <f>(I6*K15+J6*K16)*EXP(-0.05*1/4)</f>
        <v>13.70153287</v>
      </c>
      <c r="K16" s="2">
        <f>(I6*L16+J6*L17)*EXP(-0.05*1/4)</f>
        <v>4.353989623</v>
      </c>
      <c r="L16" s="2">
        <f t="shared" si="1"/>
        <v>8.558310908</v>
      </c>
    </row>
    <row r="17">
      <c r="D17" s="2">
        <f>C16*H6</f>
        <v>69.67493272</v>
      </c>
      <c r="G17" s="1" t="s">
        <v>17</v>
      </c>
      <c r="H17" s="2">
        <f>AVERAGE(E18,D17,C16)</f>
        <v>70.38801472</v>
      </c>
      <c r="L17" s="2">
        <f t="shared" si="1"/>
        <v>0.3880147235</v>
      </c>
    </row>
    <row r="18">
      <c r="E18" s="2">
        <f>D17*H6</f>
        <v>58.48911145</v>
      </c>
    </row>
    <row r="19">
      <c r="G19" s="1" t="s">
        <v>18</v>
      </c>
      <c r="J19" s="1" t="s">
        <v>19</v>
      </c>
    </row>
    <row r="20">
      <c r="G20" s="1" t="s">
        <v>4</v>
      </c>
      <c r="H20" s="2">
        <f>AVERAGE(D15,C16)</f>
        <v>90.93671799</v>
      </c>
      <c r="L20" s="2">
        <v>29.885347504022022</v>
      </c>
    </row>
    <row r="21">
      <c r="G21" s="1" t="s">
        <v>5</v>
      </c>
      <c r="H21" s="2">
        <f>AVERAGE(D17,C16)</f>
        <v>76.33746636</v>
      </c>
      <c r="J21" s="3">
        <f>MAX(C16-70, (I6*K21+J6*K22)*EXP(-0.05*1/4))</f>
        <v>14.69639326</v>
      </c>
      <c r="K21" s="2">
        <f>MAX(H20-70, (I6*L20+J6*L21)*EXP(-0.05*1/4))</f>
        <v>23.69875525</v>
      </c>
      <c r="L21" s="2">
        <v>18.29114532627524</v>
      </c>
    </row>
    <row r="22">
      <c r="K22" s="2">
        <f>MAX(H21-70, (I6*L22+J6*L23)*EXP(-0.05*1/4))</f>
        <v>6.337466362</v>
      </c>
      <c r="L22" s="2">
        <v>8.55831090794807</v>
      </c>
    </row>
    <row r="23">
      <c r="L23" s="2">
        <v>0.3880147234991398</v>
      </c>
    </row>
  </sheetData>
  <drawing r:id="rId1"/>
</worksheet>
</file>